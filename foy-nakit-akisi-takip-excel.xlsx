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Aylık" sheetId="1" r:id="rId1"/>
    <sheet name="Özet" sheetId="2" r:id="rId2"/>
    <sheet name="Kullanım" sheetId="3" r:id="rId3"/>
  </sheets>
  <calcPr calcId="0" fullCalcOnLoad="1"/>
</workbook>
</file>

<file path=xl/styles.xml><?xml version="1.0" encoding="utf-8"?>
<styleSheet xmlns="http://schemas.openxmlformats.org/spreadsheetml/2006/main">
  <numFmts count="2">
    <numFmt numFmtId="164" formatCode="#,##0.00\ &quot;₺&quot;;[Red]\-#,##0.00\ &quot;₺&quot;"/>
    <numFmt numFmtId="165" formatCode="0.00%;[Red]\-0.00%"/>
  </numFmts>
  <fonts count="9">
    <font>
      <sz val="11"/>
      <color rgb="FF1A2130"/>
      <name val="Calibri"/>
    </font>
    <font>
      <b/>
      <sz val="18"/>
      <color rgb="FF121B31"/>
      <name val="Calibri"/>
    </font>
    <font>
      <sz val="10"/>
      <color rgb="FF7A8296"/>
      <name val="Calibri"/>
    </font>
    <font>
      <b/>
      <sz val="11"/>
      <color rgb="FFFFFFFF"/>
      <name val="Calibri"/>
    </font>
    <font>
      <b/>
      <sz val="11"/>
      <color rgb="FF121B31"/>
      <name val="Calibri"/>
    </font>
    <font>
      <b/>
      <sz val="12"/>
      <color rgb="FF8A6D22"/>
      <name val="Calibri"/>
    </font>
    <font>
      <b/>
      <sz val="14"/>
      <color rgb="FF121B31"/>
      <name val="Calibri"/>
    </font>
    <font>
      <sz val="11"/>
      <color rgb="FF1A2130"/>
      <name val="Calibri"/>
    </font>
    <font>
      <b/>
      <sz val="11"/>
      <color rgb="FF9E2F45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21B31"/>
        <bgColor indexed="64"/>
      </patternFill>
    </fill>
    <fill>
      <patternFill patternType="solid">
        <fgColor rgb="FFFDF7E9"/>
        <bgColor indexed="64"/>
      </patternFill>
    </fill>
    <fill>
      <patternFill patternType="solid">
        <fgColor rgb="FFF2EFE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8D3C7"/>
      </left>
      <right style="thin">
        <color rgb="FFD8D3C7"/>
      </right>
      <top style="thin">
        <color rgb="FFD8D3C7"/>
      </top>
      <bottom style="thin">
        <color rgb="FFD8D3C7"/>
      </bottom>
      <diagonal/>
    </border>
    <border>
      <left style="thin">
        <color rgb="FFC9A65A"/>
      </left>
      <right style="thin">
        <color rgb="FFC9A65A"/>
      </right>
      <top style="medium">
        <color rgb="FFC9A65A"/>
      </top>
      <bottom style="thin">
        <color rgb="FFC9A65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164" fontId="0" fillId="3" borderId="1" xfId="0" applyNumberFormat="1" applyFill="1" applyBorder="1"/>
    <xf numFmtId="164" fontId="0" fillId="5" borderId="1" xfId="0" applyNumberFormat="1" applyFill="1" applyBorder="1"/>
    <xf numFmtId="165" fontId="0" fillId="5" borderId="1" xfId="0" applyNumberFormat="1" applyFill="1" applyBorder="1"/>
    <xf numFmtId="0" fontId="4" fillId="4" borderId="2" xfId="0" applyFont="1" applyFill="1" applyBorder="1"/>
    <xf numFmtId="164" fontId="4" fillId="4" borderId="2" xfId="0" applyNumberFormat="1" applyFont="1" applyFill="1" applyBorder="1"/>
    <xf numFmtId="165" fontId="4" fillId="4" borderId="2" xfId="0" applyNumberFormat="1" applyFont="1" applyFill="1" applyBorder="1"/>
    <xf numFmtId="0" fontId="5" fillId="0" borderId="0" xfId="0" applyFont="1"/>
    <xf numFmtId="0" fontId="7" fillId="0" borderId="0" xfId="0" applyFont="1"/>
    <xf numFmtId="164" fontId="6" fillId="0" borderId="0" xfId="0" applyNumberFormat="1" applyFont="1"/>
    <xf numFmtId="165" fontId="6" fillId="0" borderId="0" xfId="0" applyNumberFormat="1" applyFont="1"/>
    <xf numFmtId="1" fontId="6" fillId="0" borderId="0" xfId="0" applyNumberFormat="1" applyFont="1" applyAlignment="1">
      <alignment horizontal="right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showGridLines="0" workbookViewId="0">
      <pane ySplit="3" topLeftCell="A4" activePane="bottomLeft" state="frozen"/>
      <selection pane="bottomLeft" activeCell="A4" sqref="A4"/>
    </sheetView>
  </sheetViews>
  <sheetFormatPr defaultRowHeight="16.5"/>
  <cols>
    <col min="1" max="1" width="16" customWidth="1"/>
    <col min="2" max="2" width="16" customWidth="1"/>
    <col min="3" max="3" width="16" customWidth="1"/>
    <col min="4" max="4" width="16" customWidth="1"/>
    <col min="5" max="5" width="17" customWidth="1"/>
    <col min="6" max="6" width="12" customWidth="1"/>
    <col min="7" max="7" width="17" customWidth="1"/>
    <col min="8" max="8" width="22" customWidth="1"/>
  </cols>
  <sheetData>
    <row r="1" ht="26" customHeight="1">
      <c r="A1" s="1" t="inlineStr">
        <is>
          <t xml:space="preserve">FÖY — Nakit Akışı Takip Şablonu</t>
        </is>
      </c>
    </row>
    <row r="2" ht="18" customHeight="1">
      <c r="A2" s="18" t="inlineStr">
        <is>
          <t xml:space="preserve">Krem hücreleri siz doldurun, beyaz hücreleri Excel hesaplar. Portföyünüz o ay değer kaybettiyse eksi yazın (örn. -9600).</t>
        </is>
      </c>
    </row>
    <row r="3" ht="36" customHeight="1">
      <c r="A3" s="3" t="inlineStr">
        <is>
          <t xml:space="preserve">Ay</t>
        </is>
      </c>
      <c r="B3" s="3" t="inlineStr">
        <is>
          <t xml:space="preserve">Aktif gelir</t>
        </is>
      </c>
      <c r="C3" s="3" t="inlineStr">
        <is>
          <t xml:space="preserve">Pasif gelir</t>
        </is>
      </c>
      <c r="D3" s="3" t="inlineStr">
        <is>
          <t xml:space="preserve">Portföy geliri</t>
        </is>
      </c>
      <c r="E3" s="3" t="inlineStr">
        <is>
          <t xml:space="preserve">Toplam gelir</t>
        </is>
      </c>
      <c r="F3" s="3" t="inlineStr">
        <is>
          <t xml:space="preserve">Pasif payı %</t>
        </is>
      </c>
      <c r="G3" s="3" t="inlineStr">
        <is>
          <t xml:space="preserve">Aylık gider (isteğe bağlı)</t>
        </is>
      </c>
      <c r="H3" s="3" t="inlineStr">
        <is>
          <t xml:space="preserve">Pasif gelirin gideri karşılama %</t>
        </is>
      </c>
    </row>
    <row r="4">
      <c r="A4" s="4" t="inlineStr">
        <is>
          <t xml:space="preserve">Ocak 2026</t>
        </is>
      </c>
      <c r="B4" s="5">
        <v>85000</v>
      </c>
      <c r="C4" s="5">
        <v>12500</v>
      </c>
      <c r="D4" s="5">
        <v>18400</v>
      </c>
      <c r="E4" s="6">
        <f>IF(AND(B4="",C4="",D4=""),"",B4+C4+D4)</f>
      </c>
      <c r="F4" s="7">
        <f>IF(OR(E4="",E4&lt;=0),"",C4/E4)</f>
      </c>
      <c r="G4" s="5">
        <v>62000</v>
      </c>
      <c r="H4" s="7">
        <f>IF(OR(G4="",G4&lt;=0),"",C4/G4)</f>
      </c>
    </row>
    <row r="5">
      <c r="A5" s="4" t="inlineStr">
        <is>
          <t xml:space="preserve">Şubat 2026</t>
        </is>
      </c>
      <c r="B5" s="5">
        <v>85000</v>
      </c>
      <c r="C5" s="5">
        <v>13250</v>
      </c>
      <c r="D5" s="5">
        <v>-9600</v>
      </c>
      <c r="E5" s="6">
        <f>IF(AND(B5="",C5="",D5=""),"",B5+C5+D5)</f>
      </c>
      <c r="F5" s="7">
        <f>IF(OR(E5="",E5&lt;=0),"",C5/E5)</f>
      </c>
      <c r="G5" s="5">
        <v>58500</v>
      </c>
      <c r="H5" s="7">
        <f>IF(OR(G5="",G5&lt;=0),"",C5/G5)</f>
      </c>
    </row>
    <row r="6">
      <c r="A6" s="4" t="inlineStr">
        <is>
          <t xml:space="preserve">Mart 2026</t>
        </is>
      </c>
      <c r="B6" s="5">
        <v>85000</v>
      </c>
      <c r="C6" s="5">
        <v>14100</v>
      </c>
      <c r="D6" s="5">
        <v>22750</v>
      </c>
      <c r="E6" s="6">
        <f>IF(AND(B6="",C6="",D6=""),"",B6+C6+D6)</f>
      </c>
      <c r="F6" s="7">
        <f>IF(OR(E6="",E6&lt;=0),"",C6/E6)</f>
      </c>
      <c r="G6" s="5"/>
      <c r="H6" s="7">
        <f>IF(OR(G6="",G6&lt;=0),"",C6/G6)</f>
      </c>
    </row>
    <row r="7">
      <c r="A7" s="4"/>
      <c r="B7" s="5"/>
      <c r="C7" s="5"/>
      <c r="D7" s="5"/>
      <c r="E7" s="6">
        <f>IF(AND(B7="",C7="",D7=""),"",B7+C7+D7)</f>
      </c>
      <c r="F7" s="7">
        <f>IF(OR(E7="",E7&lt;=0),"",C7/E7)</f>
      </c>
      <c r="G7" s="5"/>
      <c r="H7" s="7">
        <f>IF(OR(G7="",G7&lt;=0),"",C7/G7)</f>
      </c>
    </row>
    <row r="8">
      <c r="A8" s="4"/>
      <c r="B8" s="5"/>
      <c r="C8" s="5"/>
      <c r="D8" s="5"/>
      <c r="E8" s="6">
        <f>IF(AND(B8="",C8="",D8=""),"",B8+C8+D8)</f>
      </c>
      <c r="F8" s="7">
        <f>IF(OR(E8="",E8&lt;=0),"",C8/E8)</f>
      </c>
      <c r="G8" s="5"/>
      <c r="H8" s="7">
        <f>IF(OR(G8="",G8&lt;=0),"",C8/G8)</f>
      </c>
    </row>
    <row r="9">
      <c r="A9" s="4"/>
      <c r="B9" s="5"/>
      <c r="C9" s="5"/>
      <c r="D9" s="5"/>
      <c r="E9" s="6">
        <f>IF(AND(B9="",C9="",D9=""),"",B9+C9+D9)</f>
      </c>
      <c r="F9" s="7">
        <f>IF(OR(E9="",E9&lt;=0),"",C9/E9)</f>
      </c>
      <c r="G9" s="5"/>
      <c r="H9" s="7">
        <f>IF(OR(G9="",G9&lt;=0),"",C9/G9)</f>
      </c>
    </row>
    <row r="10">
      <c r="A10" s="4"/>
      <c r="B10" s="5"/>
      <c r="C10" s="5"/>
      <c r="D10" s="5"/>
      <c r="E10" s="6">
        <f>IF(AND(B10="",C10="",D10=""),"",B10+C10+D10)</f>
      </c>
      <c r="F10" s="7">
        <f>IF(OR(E10="",E10&lt;=0),"",C10/E10)</f>
      </c>
      <c r="G10" s="5"/>
      <c r="H10" s="7">
        <f>IF(OR(G10="",G10&lt;=0),"",C10/G10)</f>
      </c>
    </row>
    <row r="11">
      <c r="A11" s="4"/>
      <c r="B11" s="5"/>
      <c r="C11" s="5"/>
      <c r="D11" s="5"/>
      <c r="E11" s="6">
        <f>IF(AND(B11="",C11="",D11=""),"",B11+C11+D11)</f>
      </c>
      <c r="F11" s="7">
        <f>IF(OR(E11="",E11&lt;=0),"",C11/E11)</f>
      </c>
      <c r="G11" s="5"/>
      <c r="H11" s="7">
        <f>IF(OR(G11="",G11&lt;=0),"",C11/G11)</f>
      </c>
    </row>
    <row r="12">
      <c r="A12" s="4"/>
      <c r="B12" s="5"/>
      <c r="C12" s="5"/>
      <c r="D12" s="5"/>
      <c r="E12" s="6">
        <f>IF(AND(B12="",C12="",D12=""),"",B12+C12+D12)</f>
      </c>
      <c r="F12" s="7">
        <f>IF(OR(E12="",E12&lt;=0),"",C12/E12)</f>
      </c>
      <c r="G12" s="5"/>
      <c r="H12" s="7">
        <f>IF(OR(G12="",G12&lt;=0),"",C12/G12)</f>
      </c>
    </row>
    <row r="13">
      <c r="A13" s="4"/>
      <c r="B13" s="5"/>
      <c r="C13" s="5"/>
      <c r="D13" s="5"/>
      <c r="E13" s="6">
        <f>IF(AND(B13="",C13="",D13=""),"",B13+C13+D13)</f>
      </c>
      <c r="F13" s="7">
        <f>IF(OR(E13="",E13&lt;=0),"",C13/E13)</f>
      </c>
      <c r="G13" s="5"/>
      <c r="H13" s="7">
        <f>IF(OR(G13="",G13&lt;=0),"",C13/G13)</f>
      </c>
    </row>
    <row r="14">
      <c r="A14" s="4"/>
      <c r="B14" s="5"/>
      <c r="C14" s="5"/>
      <c r="D14" s="5"/>
      <c r="E14" s="6">
        <f>IF(AND(B14="",C14="",D14=""),"",B14+C14+D14)</f>
      </c>
      <c r="F14" s="7">
        <f>IF(OR(E14="",E14&lt;=0),"",C14/E14)</f>
      </c>
      <c r="G14" s="5"/>
      <c r="H14" s="7">
        <f>IF(OR(G14="",G14&lt;=0),"",C14/G14)</f>
      </c>
    </row>
    <row r="15">
      <c r="A15" s="4"/>
      <c r="B15" s="5"/>
      <c r="C15" s="5"/>
      <c r="D15" s="5"/>
      <c r="E15" s="6">
        <f>IF(AND(B15="",C15="",D15=""),"",B15+C15+D15)</f>
      </c>
      <c r="F15" s="7">
        <f>IF(OR(E15="",E15&lt;=0),"",C15/E15)</f>
      </c>
      <c r="G15" s="5"/>
      <c r="H15" s="7">
        <f>IF(OR(G15="",G15&lt;=0),"",C15/G15)</f>
      </c>
    </row>
    <row r="16">
      <c r="A16" s="4"/>
      <c r="B16" s="5"/>
      <c r="C16" s="5"/>
      <c r="D16" s="5"/>
      <c r="E16" s="6">
        <f>IF(AND(B16="",C16="",D16=""),"",B16+C16+D16)</f>
      </c>
      <c r="F16" s="7">
        <f>IF(OR(E16="",E16&lt;=0),"",C16/E16)</f>
      </c>
      <c r="G16" s="5"/>
      <c r="H16" s="7">
        <f>IF(OR(G16="",G16&lt;=0),"",C16/G16)</f>
      </c>
    </row>
    <row r="17">
      <c r="A17" s="4"/>
      <c r="B17" s="5"/>
      <c r="C17" s="5"/>
      <c r="D17" s="5"/>
      <c r="E17" s="6">
        <f>IF(AND(B17="",C17="",D17=""),"",B17+C17+D17)</f>
      </c>
      <c r="F17" s="7">
        <f>IF(OR(E17="",E17&lt;=0),"",C17/E17)</f>
      </c>
      <c r="G17" s="5"/>
      <c r="H17" s="7">
        <f>IF(OR(G17="",G17&lt;=0),"",C17/G17)</f>
      </c>
    </row>
    <row r="18">
      <c r="A18" s="4"/>
      <c r="B18" s="5"/>
      <c r="C18" s="5"/>
      <c r="D18" s="5"/>
      <c r="E18" s="6">
        <f>IF(AND(B18="",C18="",D18=""),"",B18+C18+D18)</f>
      </c>
      <c r="F18" s="7">
        <f>IF(OR(E18="",E18&lt;=0),"",C18/E18)</f>
      </c>
      <c r="G18" s="5"/>
      <c r="H18" s="7">
        <f>IF(OR(G18="",G18&lt;=0),"",C18/G18)</f>
      </c>
    </row>
    <row r="19">
      <c r="A19" s="4"/>
      <c r="B19" s="5"/>
      <c r="C19" s="5"/>
      <c r="D19" s="5"/>
      <c r="E19" s="6">
        <f>IF(AND(B19="",C19="",D19=""),"",B19+C19+D19)</f>
      </c>
      <c r="F19" s="7">
        <f>IF(OR(E19="",E19&lt;=0),"",C19/E19)</f>
      </c>
      <c r="G19" s="5"/>
      <c r="H19" s="7">
        <f>IF(OR(G19="",G19&lt;=0),"",C19/G19)</f>
      </c>
    </row>
    <row r="20">
      <c r="A20" s="4"/>
      <c r="B20" s="5"/>
      <c r="C20" s="5"/>
      <c r="D20" s="5"/>
      <c r="E20" s="6">
        <f>IF(AND(B20="",C20="",D20=""),"",B20+C20+D20)</f>
      </c>
      <c r="F20" s="7">
        <f>IF(OR(E20="",E20&lt;=0),"",C20/E20)</f>
      </c>
      <c r="G20" s="5"/>
      <c r="H20" s="7">
        <f>IF(OR(G20="",G20&lt;=0),"",C20/G20)</f>
      </c>
    </row>
    <row r="21">
      <c r="A21" s="4"/>
      <c r="B21" s="5"/>
      <c r="C21" s="5"/>
      <c r="D21" s="5"/>
      <c r="E21" s="6">
        <f>IF(AND(B21="",C21="",D21=""),"",B21+C21+D21)</f>
      </c>
      <c r="F21" s="7">
        <f>IF(OR(E21="",E21&lt;=0),"",C21/E21)</f>
      </c>
      <c r="G21" s="5"/>
      <c r="H21" s="7">
        <f>IF(OR(G21="",G21&lt;=0),"",C21/G21)</f>
      </c>
    </row>
    <row r="22">
      <c r="A22" s="4"/>
      <c r="B22" s="5"/>
      <c r="C22" s="5"/>
      <c r="D22" s="5"/>
      <c r="E22" s="6">
        <f>IF(AND(B22="",C22="",D22=""),"",B22+C22+D22)</f>
      </c>
      <c r="F22" s="7">
        <f>IF(OR(E22="",E22&lt;=0),"",C22/E22)</f>
      </c>
      <c r="G22" s="5"/>
      <c r="H22" s="7">
        <f>IF(OR(G22="",G22&lt;=0),"",C22/G22)</f>
      </c>
    </row>
    <row r="23">
      <c r="A23" s="4"/>
      <c r="B23" s="5"/>
      <c r="C23" s="5"/>
      <c r="D23" s="5"/>
      <c r="E23" s="6">
        <f>IF(AND(B23="",C23="",D23=""),"",B23+C23+D23)</f>
      </c>
      <c r="F23" s="7">
        <f>IF(OR(E23="",E23&lt;=0),"",C23/E23)</f>
      </c>
      <c r="G23" s="5"/>
      <c r="H23" s="7">
        <f>IF(OR(G23="",G23&lt;=0),"",C23/G23)</f>
      </c>
    </row>
    <row r="24">
      <c r="A24" s="4"/>
      <c r="B24" s="5"/>
      <c r="C24" s="5"/>
      <c r="D24" s="5"/>
      <c r="E24" s="6">
        <f>IF(AND(B24="",C24="",D24=""),"",B24+C24+D24)</f>
      </c>
      <c r="F24" s="7">
        <f>IF(OR(E24="",E24&lt;=0),"",C24/E24)</f>
      </c>
      <c r="G24" s="5"/>
      <c r="H24" s="7">
        <f>IF(OR(G24="",G24&lt;=0),"",C24/G24)</f>
      </c>
    </row>
    <row r="25">
      <c r="A25" s="4"/>
      <c r="B25" s="5"/>
      <c r="C25" s="5"/>
      <c r="D25" s="5"/>
      <c r="E25" s="6">
        <f>IF(AND(B25="",C25="",D25=""),"",B25+C25+D25)</f>
      </c>
      <c r="F25" s="7">
        <f>IF(OR(E25="",E25&lt;=0),"",C25/E25)</f>
      </c>
      <c r="G25" s="5"/>
      <c r="H25" s="7">
        <f>IF(OR(G25="",G25&lt;=0),"",C25/G25)</f>
      </c>
    </row>
    <row r="26">
      <c r="A26" s="4"/>
      <c r="B26" s="5"/>
      <c r="C26" s="5"/>
      <c r="D26" s="5"/>
      <c r="E26" s="6">
        <f>IF(AND(B26="",C26="",D26=""),"",B26+C26+D26)</f>
      </c>
      <c r="F26" s="7">
        <f>IF(OR(E26="",E26&lt;=0),"",C26/E26)</f>
      </c>
      <c r="G26" s="5"/>
      <c r="H26" s="7">
        <f>IF(OR(G26="",G26&lt;=0),"",C26/G26)</f>
      </c>
    </row>
    <row r="27">
      <c r="A27" s="4"/>
      <c r="B27" s="5"/>
      <c r="C27" s="5"/>
      <c r="D27" s="5"/>
      <c r="E27" s="6">
        <f>IF(AND(B27="",C27="",D27=""),"",B27+C27+D27)</f>
      </c>
      <c r="F27" s="7">
        <f>IF(OR(E27="",E27&lt;=0),"",C27/E27)</f>
      </c>
      <c r="G27" s="5"/>
      <c r="H27" s="7">
        <f>IF(OR(G27="",G27&lt;=0),"",C27/G27)</f>
      </c>
    </row>
    <row r="28" ht="22" customHeight="1">
      <c r="A28" s="8" t="inlineStr">
        <is>
          <t xml:space="preserve">TOPLAM</t>
        </is>
      </c>
      <c r="B28" s="9">
        <f>SUM(B4:B27)</f>
      </c>
      <c r="C28" s="9">
        <f>SUM(C4:C27)</f>
      </c>
      <c r="D28" s="9">
        <f>SUM(D4:D27)</f>
      </c>
      <c r="E28" s="9">
        <f>SUM(E4:E27)</f>
      </c>
      <c r="F28" s="10">
        <f>IF(E28&gt;0,C28/E28,"")</f>
      </c>
      <c r="G28" s="9">
        <f>SUM(G4:G27)</f>
      </c>
      <c r="H28" s="10">
        <f>IF(COUNTIF(G4:G27,"&gt;0")=0,"",AVERAGEIF(G4:G27,"&gt;0",H4:H27))</f>
      </c>
    </row>
  </sheetData>
  <pageMargins left="0.4" right="0.4" top="0.5" bottom="0.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6.5"/>
  <cols>
    <col min="1" max="1" width="34" customWidth="1"/>
    <col min="2" max="2" width="20" customWidth="1"/>
    <col min="3" max="3" width="14" customWidth="1"/>
  </cols>
  <sheetData>
    <row r="1" ht="26" customHeight="1">
      <c r="A1" s="1" t="inlineStr">
        <is>
          <t xml:space="preserve">Nakit Akışı Özeti</t>
        </is>
      </c>
    </row>
    <row r="2" ht="18" customHeight="1">
      <c r="A2" s="18" t="inlineStr">
        <is>
          <t xml:space="preserve">Bu sayfadaki her sayı Aylık sayfasından gelir; buraya elle bir şey yazmanız gerekmez.</t>
        </is>
      </c>
    </row>
    <row r="4">
      <c r="A4" s="11" t="inlineStr">
        <is>
          <t xml:space="preserve">GENEL DURUM</t>
        </is>
      </c>
    </row>
    <row r="5" ht="20" customHeight="1">
      <c r="A5" s="12" t="inlineStr">
        <is>
          <t xml:space="preserve">Dolu ay sayısı</t>
        </is>
      </c>
      <c r="B5" s="15">
        <f>COUNT('Aylık'!E4:E27)</f>
      </c>
    </row>
    <row r="6" ht="20" customHeight="1">
      <c r="A6" s="12" t="inlineStr">
        <is>
          <t xml:space="preserve">Toplam gelir</t>
        </is>
      </c>
      <c r="B6" s="13">
        <f>'Aylık'!E28</f>
      </c>
    </row>
    <row r="7" ht="20" customHeight="1">
      <c r="A7" s="12" t="inlineStr">
        <is>
          <t xml:space="preserve">Aylık ortalama gelir</t>
        </is>
      </c>
      <c r="B7" s="13">
        <f>IF(B5=0,"",B6/B5)</f>
      </c>
    </row>
    <row r="8" ht="20" customHeight="1">
      <c r="A8" s="12" t="inlineStr">
        <is>
          <t xml:space="preserve">Gideri girilmiş ay sayısı</t>
        </is>
      </c>
      <c r="B8" s="15">
        <f>COUNTIF('Aylık'!G4:G27,"&gt;0")</f>
      </c>
    </row>
    <row r="9" ht="20" customHeight="1">
      <c r="A9" s="12" t="inlineStr">
        <is>
          <t xml:space="preserve">Ortalama karşılama oranı</t>
        </is>
      </c>
      <c r="B9" s="14">
        <f>IF(B8=0,"",AVERAGEIF('Aylık'!G4:G27,"&gt;0",'Aylık'!H4:H27))</f>
      </c>
    </row>
    <row r="10" ht="18" customHeight="1">
      <c r="A10" s="18" t="inlineStr">
        <is>
          <t xml:space="preserve">Karşılama oranı: pasif gelirin o ayki gideri ne kadar karşıladığı. Yalnız gideri girilmiş aylardan hesaplanır.</t>
        </is>
      </c>
    </row>
    <row r="11" ht="24" customHeight="1">
      <c r="A11" s="3" t="inlineStr">
        <is>
          <t xml:space="preserve">Gelir kaynağı</t>
        </is>
      </c>
      <c r="B11" s="3" t="inlineStr">
        <is>
          <t xml:space="preserve">Toplam</t>
        </is>
      </c>
      <c r="C11" s="3" t="inlineStr">
        <is>
          <t xml:space="preserve">Pay</t>
        </is>
      </c>
    </row>
    <row r="12">
      <c r="A12" s="4" t="inlineStr">
        <is>
          <t xml:space="preserve">Aktif gelir (emek)</t>
        </is>
      </c>
      <c r="B12" s="6">
        <f>'Aylık'!B28</f>
      </c>
      <c r="C12" s="7">
        <f>IF($B$15&lt;=0,"",B12/$B$15)</f>
      </c>
    </row>
    <row r="13">
      <c r="A13" s="4" t="inlineStr">
        <is>
          <t xml:space="preserve">Pasif gelir (kira, temettü vb.)</t>
        </is>
      </c>
      <c r="B13" s="6">
        <f>'Aylık'!C28</f>
      </c>
      <c r="C13" s="7">
        <f>IF($B$15&lt;=0,"",B13/$B$15)</f>
      </c>
    </row>
    <row r="14">
      <c r="A14" s="4" t="inlineStr">
        <is>
          <t xml:space="preserve">Portföy geliri (değerleme)</t>
        </is>
      </c>
      <c r="B14" s="6">
        <f>'Aylık'!D28</f>
      </c>
      <c r="C14" s="7">
        <f>IF($B$15&lt;=0,"",B14/$B$15)</f>
      </c>
    </row>
    <row r="15" ht="22" customHeight="1">
      <c r="A15" s="8" t="inlineStr">
        <is>
          <t xml:space="preserve">TOPLAM</t>
        </is>
      </c>
      <c r="B15" s="9">
        <f>SUM(B12:B14)</f>
      </c>
      <c r="C15" s="10">
        <f>IF(B15&lt;=0,"",SUM(C12:C14))</f>
      </c>
    </row>
    <row r="16" ht="18" customHeight="1">
      <c r="A16" s="18" t="inlineStr">
        <is>
          <t xml:space="preserve">Portföy geliri eksiyse payı da eksi görünür; o zaman diğer iki payın toplamı %100'ü aşar.</t>
        </is>
      </c>
    </row>
    <row r="18">
      <c r="A18" s="11" t="inlineStr">
        <is>
          <t xml:space="preserve">DAHA PRATİK BİR YOL</t>
        </is>
      </c>
    </row>
    <row r="19" ht="34" customHeight="1">
      <c r="A19" s="16" t="inlineStr">
        <is>
          <t xml:space="preserve">Bu şablonda her ayın gelirini siz girersiniz. Portföy gelirini yatırımlarınızın fiyatından kendisi hesaplayan bir uygulama isterseniz FÖY'e bakabilirsiniz — hesap açmadan çalışır.</t>
        </is>
      </c>
    </row>
    <row r="20">
      <c r="A20" s="11" t="inlineStr">
        <is>
          <t xml:space="preserve">appfoy.com</t>
        </is>
      </c>
    </row>
  </sheetData>
  <pageMargins left="0.4" right="0.4" top="0.5" bottom="0.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6.5"/>
  <cols>
    <col min="1" max="1" width="110" customWidth="1"/>
  </cols>
  <sheetData>
    <row r="1" ht="26" customHeight="1">
      <c r="A1" s="1" t="inlineStr">
        <is>
          <t xml:space="preserve">Nasıl Kullanılır?</t>
        </is>
      </c>
    </row>
    <row r="3" ht="20" customHeight="1">
      <c r="A3" s="11" t="inlineStr">
        <is>
          <t xml:space="preserve">BEŞ ADIM</t>
        </is>
      </c>
    </row>
    <row r="4" ht="20" customHeight="1">
      <c r="A4" s="16" t="inlineStr">
        <is>
          <t xml:space="preserve">1.  Aylık sayfasında boş bir satıra ayın adını yazın (örn. "Nisan 2026").</t>
        </is>
      </c>
    </row>
    <row r="5" ht="20" customHeight="1">
      <c r="A5" s="16" t="inlineStr">
        <is>
          <t xml:space="preserve">2.  Aktif gelir sütununa emeğinizle kazandığınızı girin: maaş, serbest iş, ek iş.</t>
        </is>
      </c>
    </row>
    <row r="6" ht="20" customHeight="1">
      <c r="A6" s="16" t="inlineStr">
        <is>
          <t xml:space="preserve">3.  Pasif gelir sütununa çalışmadan gelen geliri girin: kira, temettü, faiz.</t>
        </is>
      </c>
    </row>
    <row r="7" ht="20" customHeight="1">
      <c r="A7" s="16" t="inlineStr">
        <is>
          <t xml:space="preserve">4.  Portföy geliri sütununa yatırımlarınızın o ayki değer değişimini girin. Değer düştüyse eksi yazın.</t>
        </is>
      </c>
    </row>
    <row r="8" ht="20" customHeight="1">
      <c r="A8" s="16" t="inlineStr">
        <is>
          <t xml:space="preserve">5.  İsterseniz Aylık gider sütununa o ayki harcamanızı girin. Boş bırakabilirsiniz.</t>
        </is>
      </c>
    </row>
    <row r="9" ht="30" customHeight="1">
      <c r="A9" s="16" t="inlineStr">
        <is>
          <t xml:space="preserve">Toplam gelir, Pasif payı ve karşılama sütunlarını Excel kendisi hesaplar. Bu sütunlara yazmayın.</t>
        </is>
      </c>
    </row>
    <row r="11" ht="20" customHeight="1">
      <c r="A11" s="11" t="inlineStr">
        <is>
          <t xml:space="preserve">RENKLER NE ANLAMA GELİYOR</t>
        </is>
      </c>
    </row>
    <row r="12" ht="20" customHeight="1">
      <c r="A12" s="16" t="inlineStr">
        <is>
          <t xml:space="preserve">Krem zeminli hücreler  →  siz doldurursunuz.</t>
        </is>
      </c>
    </row>
    <row r="13" ht="20" customHeight="1">
      <c r="A13" s="16" t="inlineStr">
        <is>
          <t xml:space="preserve">Beyaz zeminli hücreler →  Excel hesaplar, elle değiştirmeyin.</t>
        </is>
      </c>
    </row>
    <row r="14" ht="20" customHeight="1">
      <c r="A14" s="16" t="inlineStr">
        <is>
          <t xml:space="preserve">Eksi sayılar başında eksi işaretiyle ve kırmızı görünür (örn. -9.600,00 ₺).</t>
        </is>
      </c>
    </row>
    <row r="16" ht="20" customHeight="1">
      <c r="A16" s="11" t="inlineStr">
        <is>
          <t xml:space="preserve">ÖRNEK SATIRLAR</t>
        </is>
      </c>
    </row>
    <row r="17" ht="30" customHeight="1">
      <c r="A17" s="16" t="inlineStr">
        <is>
          <t xml:space="preserve">Dosyada 3 örnek ay var; şablonun çalıştığını görmeniz için kondu. Kendi aylarınızı girmeden önce bu satırların içeriğini temizleyebilirsiniz (satırı silmeyin, 24 aylık alan daralır).</t>
        </is>
      </c>
    </row>
    <row r="19" ht="20" customHeight="1">
      <c r="A19" s="11" t="inlineStr">
        <is>
          <t xml:space="preserve">PASİF PAYI VE KARŞILAMA</t>
        </is>
      </c>
    </row>
    <row r="20" ht="20" customHeight="1">
      <c r="A20" s="16" t="inlineStr">
        <is>
          <t xml:space="preserve">Pasif payı: o ayki toplam gelirin ne kadarının pasif gelirden geldiği.</t>
        </is>
      </c>
    </row>
    <row r="21" ht="30" customHeight="1">
      <c r="A21" s="16" t="inlineStr">
        <is>
          <t xml:space="preserve">Karşılama: pasif gelirin o ayki gideri ne kadar karşıladığı. %100 olduğunda pasif gelir gideri tek başına öder.</t>
        </is>
      </c>
    </row>
    <row r="23" ht="20" customHeight="1">
      <c r="A23" s="11" t="inlineStr">
        <is>
          <t xml:space="preserve">SINIRLAR</t>
        </is>
      </c>
    </row>
    <row r="24" ht="20" customHeight="1">
      <c r="A24" s="16" t="inlineStr">
        <is>
          <t xml:space="preserve">•  24 aylık çalışma alanı vardır. Daha fazlası için satır ekleyip formülleri aşağı sürükleyin.</t>
        </is>
      </c>
    </row>
    <row r="25" ht="20" customHeight="1">
      <c r="A25" s="16" t="inlineStr">
        <is>
          <t xml:space="preserve">•  Makro yoktur, dış veri bağlantısı yoktur. Dosya internete bağlanmaz; her sayıyı siz girersiniz.</t>
        </is>
      </c>
    </row>
    <row r="26" ht="20" customHeight="1">
      <c r="A26" s="16" t="inlineStr">
        <is>
          <t xml:space="preserve">•  Google E-Tablolar ile de açılır; yalnız temel işlevler kullanılır.</t>
        </is>
      </c>
    </row>
    <row r="27" ht="20" customHeight="1">
      <c r="A27" s="16" t="inlineStr">
        <is>
          <t xml:space="preserve">•  İşlem defteri tutmaz: tek tek alım-satım ya da temettü kaydı için ayrı bir kayıt gerekir.</t>
        </is>
      </c>
    </row>
    <row r="29" ht="20" customHeight="1">
      <c r="A29" s="11" t="inlineStr">
        <is>
          <t xml:space="preserve">DAHA PRATİK BİR YOL</t>
        </is>
      </c>
    </row>
    <row r="30" ht="34" customHeight="1">
      <c r="A30" s="16" t="inlineStr">
        <is>
          <t xml:space="preserve">FÖY; aktif ve pasif gelirinizi ay ay saklar, portföy gelirini yatırımlarınızın fiyatından kendisi hesaplar. Hesap açmanız gerekmez, veriler cihazınızda kalır.</t>
        </is>
      </c>
    </row>
    <row r="31" ht="20" customHeight="1">
      <c r="A31" s="11" t="inlineStr">
        <is>
          <t xml:space="preserve">appfoy.com</t>
        </is>
      </c>
    </row>
    <row r="33" ht="28" customHeight="1">
      <c r="A33" s="2" t="inlineStr">
        <is>
          <t xml:space="preserve">FÖY bir nakit akışı ve portföy takip aracıdır; yatırım danışmanlığı değildir. Bu dosyadaki örnek sayılar gerçek bir kişiyi temsil etmez.</t>
        </is>
      </c>
    </row>
  </sheetData>
  <pageMargins left="0.4" right="0.4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FÖY</Application>
  <Company>appfoy.com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FÖY — Nakit Akışı Takip Excel Şablonu</dc:title>
  <dc:creator>FÖY — appfoy.com</dc:creator>
  <cp:lastModifiedBy>FÖY</cp:lastModifiedBy>
  <dc:description>Ücretsiz nakit akışı takip şablonu: aktif, pasif ve portföy geliri ay ay. Sayılar elle girilir; şablon dış kaynaktan veri çekmez. appfoy.com</dc:description>
</cp:coreProperties>
</file>